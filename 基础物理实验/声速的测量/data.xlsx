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971" windowHeight="98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<sst xmlns="http://schemas.openxmlformats.org/spreadsheetml/2006/main" count="17" uniqueCount="14">
  <si>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实验 1</t>
  </si>
  <si>
    <t>R0</t>
  </si>
  <si>
    <t>f/Hz</t>
  </si>
  <si>
    <t>峰峰值 Um/V</t>
  </si>
  <si>
    <t>电压 U/V</t>
  </si>
  <si>
    <t>实验 2</t>
  </si>
  <si>
    <t>f/kHz</t>
  </si>
  <si>
    <t>U</t>
  </si>
  <si>
    <t>k</t>
  </si>
  <si>
    <t>L_k/mm</t>
  </si>
  <si>
    <t>最大值 U_k/V</t>
  </si>
  <si>
    <t>x/mm</t>
  </si>
  <si>
    <t>L/mm</t>
  </si>
  <si>
    <t>t/us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</si>
</sst>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28"/>
  <sheetViews>
    <sheetView tabSelected="1" workbookViewId="0">
      <selection activeCell="A16" sqref="A16:K17"/>
    </sheetView>
  </sheetViews>
  <sheetFormatPr defaultColWidth="9" defaultRowHeight="14.1"/>
  <cols>
    <col min="1" max="1" width="15.2792792792793" customWidth="1"/>
  </cols>
  <sheetData>
    <row r="1" spans="1:3">
      <c r="A1" t="s">
        <v>0</v>
      </c>
      <c r="B1" t="s">
        <v>1</v>
      </c>
      <c r="C1">
        <v>40000</v>
      </c>
    </row>
    <row r="2" spans="1:64">
      <c r="A2" t="s">
        <v>2</v>
      </c>
      <c r="B2">
        <v>10</v>
      </c>
      <c r="C2">
        <v>11</v>
      </c>
      <c r="D2">
        <v>12</v>
      </c>
      <c r="E2">
        <v>13</v>
      </c>
      <c r="F2">
        <v>14</v>
      </c>
      <c r="G2">
        <v>15</v>
      </c>
      <c r="H2">
        <v>16</v>
      </c>
      <c r="I2">
        <v>17</v>
      </c>
      <c r="J2">
        <v>18</v>
      </c>
      <c r="K2">
        <v>19</v>
      </c>
      <c r="L2">
        <v>20</v>
      </c>
      <c r="M2">
        <v>21</v>
      </c>
      <c r="N2">
        <v>22</v>
      </c>
      <c r="O2">
        <v>23</v>
      </c>
      <c r="P2">
        <v>24</v>
      </c>
      <c r="Q2">
        <v>25</v>
      </c>
      <c r="R2">
        <v>26</v>
      </c>
      <c r="S2">
        <v>27</v>
      </c>
      <c r="T2">
        <v>28</v>
      </c>
      <c r="U2">
        <v>29</v>
      </c>
      <c r="V2">
        <v>30</v>
      </c>
      <c r="W2">
        <v>31</v>
      </c>
      <c r="X2">
        <v>32</v>
      </c>
      <c r="Y2">
        <v>33</v>
      </c>
      <c r="Z2">
        <v>34</v>
      </c>
      <c r="AA2">
        <v>35</v>
      </c>
      <c r="AB2">
        <v>36</v>
      </c>
      <c r="AC2">
        <v>37</v>
      </c>
      <c r="AD2">
        <v>38</v>
      </c>
      <c r="AE2">
        <v>39</v>
      </c>
      <c r="AF2">
        <v>40</v>
      </c>
      <c r="AG2">
        <v>41</v>
      </c>
      <c r="AH2">
        <v>42</v>
      </c>
      <c r="AI2">
        <v>43</v>
      </c>
      <c r="AJ2">
        <v>44</v>
      </c>
      <c r="AK2">
        <v>45</v>
      </c>
      <c r="AL2">
        <v>46</v>
      </c>
      <c r="AM2">
        <v>47</v>
      </c>
      <c r="AN2">
        <v>48</v>
      </c>
      <c r="AO2">
        <v>49</v>
      </c>
      <c r="AP2">
        <v>50</v>
      </c>
      <c r="AQ2">
        <v>51</v>
      </c>
      <c r="AR2">
        <v>52</v>
      </c>
      <c r="AS2">
        <v>53</v>
      </c>
      <c r="AT2">
        <v>54</v>
      </c>
      <c r="AU2">
        <v>55</v>
      </c>
      <c r="AV2">
        <v>56</v>
      </c>
      <c r="AW2">
        <v>57</v>
      </c>
      <c r="AX2">
        <v>58</v>
      </c>
      <c r="AY2">
        <v>59</v>
      </c>
      <c r="AZ2">
        <v>60</v>
      </c>
      <c r="BA2">
        <v>40.5</v>
      </c>
      <c r="BB2">
        <v>40.7</v>
      </c>
      <c r="BC2">
        <v>40.9</v>
      </c>
      <c r="BD2">
        <v>41.1</v>
      </c>
      <c r="BE2">
        <v>41.2</v>
      </c>
      <c r="BF2">
        <v>41.5</v>
      </c>
      <c r="BG2">
        <v>54.5</v>
      </c>
      <c r="BH2">
        <v>54.8</v>
      </c>
      <c r="BI2">
        <v>54.9</v>
      </c>
      <c r="BJ2">
        <v>55.1</v>
      </c>
      <c r="BK2">
        <v>55.2</v>
      </c>
      <c r="BL2">
        <v>55.5</v>
      </c>
    </row>
    <row r="3" spans="1:64">
      <c r="A3" t="s">
        <v>3</v>
      </c>
      <c r="B3">
        <v>4.08</v>
      </c>
      <c r="C3">
        <v>3.72</v>
      </c>
      <c r="D3">
        <v>3.44</v>
      </c>
      <c r="E3">
        <v>3.2</v>
      </c>
      <c r="F3">
        <v>2.96</v>
      </c>
      <c r="G3">
        <v>2.76</v>
      </c>
      <c r="H3">
        <v>2.6</v>
      </c>
      <c r="I3">
        <v>2.44</v>
      </c>
      <c r="J3">
        <v>2.32</v>
      </c>
      <c r="K3">
        <v>2.16</v>
      </c>
      <c r="L3">
        <v>2.04</v>
      </c>
      <c r="M3">
        <v>1.96</v>
      </c>
      <c r="N3">
        <v>1.86</v>
      </c>
      <c r="O3">
        <v>1.78</v>
      </c>
      <c r="P3">
        <v>1.68</v>
      </c>
      <c r="Q3">
        <v>1.62</v>
      </c>
      <c r="R3">
        <v>1.56</v>
      </c>
      <c r="S3">
        <v>1.5</v>
      </c>
      <c r="T3">
        <v>1.42</v>
      </c>
      <c r="U3">
        <v>1.36</v>
      </c>
      <c r="V3">
        <v>1.3</v>
      </c>
      <c r="W3">
        <v>1.23</v>
      </c>
      <c r="X3">
        <v>1.18</v>
      </c>
      <c r="Y3">
        <v>1.11</v>
      </c>
      <c r="Z3">
        <v>1.07</v>
      </c>
      <c r="AA3">
        <v>1</v>
      </c>
      <c r="AB3">
        <v>0.928</v>
      </c>
      <c r="AC3">
        <v>0.856</v>
      </c>
      <c r="AD3">
        <v>0.744</v>
      </c>
      <c r="AE3">
        <v>0.632</v>
      </c>
      <c r="AF3">
        <v>0.492</v>
      </c>
      <c r="AG3">
        <v>0.344</v>
      </c>
      <c r="AH3">
        <v>0.816</v>
      </c>
      <c r="AI3">
        <v>2.9</v>
      </c>
      <c r="AJ3">
        <v>2.58</v>
      </c>
      <c r="AK3">
        <v>1.8</v>
      </c>
      <c r="AL3">
        <v>1.48</v>
      </c>
      <c r="AM3">
        <v>1.3</v>
      </c>
      <c r="AN3">
        <v>1.18</v>
      </c>
      <c r="AO3">
        <v>1.1</v>
      </c>
      <c r="AP3">
        <v>0.992</v>
      </c>
      <c r="AQ3">
        <v>0.912</v>
      </c>
      <c r="AR3">
        <v>0.824</v>
      </c>
      <c r="AS3">
        <v>0.704</v>
      </c>
      <c r="AT3">
        <v>0.504</v>
      </c>
      <c r="AU3">
        <v>0.34</v>
      </c>
      <c r="AV3">
        <v>1.23</v>
      </c>
      <c r="AW3">
        <v>2.38</v>
      </c>
      <c r="AX3">
        <v>1.66</v>
      </c>
      <c r="AY3">
        <v>1.46</v>
      </c>
      <c r="AZ3">
        <v>1.26</v>
      </c>
      <c r="BA3">
        <v>0.412</v>
      </c>
      <c r="BB3">
        <v>0.376</v>
      </c>
      <c r="BC3">
        <v>0.352</v>
      </c>
      <c r="BD3">
        <v>0.34</v>
      </c>
      <c r="BE3">
        <v>0.344</v>
      </c>
      <c r="BF3">
        <v>0.416</v>
      </c>
      <c r="BG3">
        <v>0.492</v>
      </c>
      <c r="BH3">
        <v>0.408</v>
      </c>
      <c r="BI3">
        <v>0.38</v>
      </c>
      <c r="BJ3">
        <v>0.344</v>
      </c>
      <c r="BK3">
        <v>0.352</v>
      </c>
      <c r="BL3">
        <v>0.504</v>
      </c>
    </row>
    <row r="4" spans="1:64">
      <c r="A4" t="s">
        <v>4</v>
      </c>
      <c r="B4">
        <f>B3/2</f>
        <v>2.04</v>
      </c>
      <c r="C4">
        <f t="shared" ref="C4:AH4" si="0">C3/2</f>
        <v>1.86</v>
      </c>
      <c r="D4">
        <f t="shared" si="0"/>
        <v>1.72</v>
      </c>
      <c r="E4">
        <f t="shared" si="0"/>
        <v>1.6</v>
      </c>
      <c r="F4">
        <f t="shared" si="0"/>
        <v>1.48</v>
      </c>
      <c r="G4">
        <f t="shared" si="0"/>
        <v>1.38</v>
      </c>
      <c r="H4">
        <f t="shared" si="0"/>
        <v>1.3</v>
      </c>
      <c r="I4">
        <f t="shared" si="0"/>
        <v>1.22</v>
      </c>
      <c r="J4">
        <f t="shared" si="0"/>
        <v>1.16</v>
      </c>
      <c r="K4">
        <f t="shared" si="0"/>
        <v>1.08</v>
      </c>
      <c r="L4">
        <f t="shared" si="0"/>
        <v>1.02</v>
      </c>
      <c r="M4">
        <f t="shared" si="0"/>
        <v>0.98</v>
      </c>
      <c r="N4">
        <f t="shared" si="0"/>
        <v>0.93</v>
      </c>
      <c r="O4">
        <f t="shared" si="0"/>
        <v>0.89</v>
      </c>
      <c r="P4">
        <f t="shared" si="0"/>
        <v>0.84</v>
      </c>
      <c r="Q4">
        <f t="shared" si="0"/>
        <v>0.81</v>
      </c>
      <c r="R4">
        <f t="shared" si="0"/>
        <v>0.78</v>
      </c>
      <c r="S4">
        <f t="shared" si="0"/>
        <v>0.75</v>
      </c>
      <c r="T4">
        <f t="shared" si="0"/>
        <v>0.71</v>
      </c>
      <c r="U4">
        <f t="shared" si="0"/>
        <v>0.68</v>
      </c>
      <c r="V4">
        <f t="shared" si="0"/>
        <v>0.65</v>
      </c>
      <c r="W4">
        <f t="shared" si="0"/>
        <v>0.615</v>
      </c>
      <c r="X4">
        <f t="shared" si="0"/>
        <v>0.59</v>
      </c>
      <c r="Y4">
        <f t="shared" si="0"/>
        <v>0.555</v>
      </c>
      <c r="Z4">
        <f t="shared" si="0"/>
        <v>0.535</v>
      </c>
      <c r="AA4">
        <f t="shared" si="0"/>
        <v>0.5</v>
      </c>
      <c r="AB4">
        <f t="shared" si="0"/>
        <v>0.464</v>
      </c>
      <c r="AC4">
        <f t="shared" si="0"/>
        <v>0.428</v>
      </c>
      <c r="AD4">
        <f t="shared" si="0"/>
        <v>0.372</v>
      </c>
      <c r="AE4">
        <f t="shared" si="0"/>
        <v>0.316</v>
      </c>
      <c r="AF4">
        <f t="shared" si="0"/>
        <v>0.246</v>
      </c>
      <c r="AG4">
        <f t="shared" si="0"/>
        <v>0.172</v>
      </c>
      <c r="AH4">
        <f t="shared" si="0"/>
        <v>0.408</v>
      </c>
      <c r="AI4">
        <f t="shared" ref="AI4:BF4" si="1">AI3/2</f>
        <v>1.45</v>
      </c>
      <c r="AJ4">
        <f t="shared" si="1"/>
        <v>1.29</v>
      </c>
      <c r="AK4">
        <f t="shared" si="1"/>
        <v>0.9</v>
      </c>
      <c r="AL4">
        <f t="shared" si="1"/>
        <v>0.74</v>
      </c>
      <c r="AM4">
        <f t="shared" si="1"/>
        <v>0.65</v>
      </c>
      <c r="AN4">
        <f t="shared" si="1"/>
        <v>0.59</v>
      </c>
      <c r="AO4">
        <f t="shared" si="1"/>
        <v>0.55</v>
      </c>
      <c r="AP4">
        <f t="shared" si="1"/>
        <v>0.496</v>
      </c>
      <c r="AQ4">
        <f t="shared" si="1"/>
        <v>0.456</v>
      </c>
      <c r="AR4">
        <f t="shared" si="1"/>
        <v>0.412</v>
      </c>
      <c r="AS4">
        <f t="shared" si="1"/>
        <v>0.352</v>
      </c>
      <c r="AT4">
        <f t="shared" si="1"/>
        <v>0.252</v>
      </c>
      <c r="AU4">
        <f t="shared" si="1"/>
        <v>0.17</v>
      </c>
      <c r="AV4">
        <f t="shared" si="1"/>
        <v>0.615</v>
      </c>
      <c r="AW4">
        <f t="shared" si="1"/>
        <v>1.19</v>
      </c>
      <c r="AX4">
        <f t="shared" si="1"/>
        <v>0.83</v>
      </c>
      <c r="AY4">
        <f t="shared" si="1"/>
        <v>0.73</v>
      </c>
      <c r="AZ4">
        <f t="shared" si="1"/>
        <v>0.63</v>
      </c>
      <c r="BA4">
        <f t="shared" si="1"/>
        <v>0.206</v>
      </c>
      <c r="BB4">
        <f t="shared" si="1"/>
        <v>0.188</v>
      </c>
      <c r="BC4">
        <f t="shared" si="1"/>
        <v>0.176</v>
      </c>
      <c r="BD4">
        <f t="shared" si="1"/>
        <v>0.17</v>
      </c>
      <c r="BE4">
        <f t="shared" si="1"/>
        <v>0.172</v>
      </c>
      <c r="BF4">
        <f t="shared" si="1"/>
        <v>0.208</v>
      </c>
      <c r="BG4">
        <f t="shared" ref="BG4:BL4" si="2">BG3/2</f>
        <v>0.246</v>
      </c>
      <c r="BH4">
        <f t="shared" si="2"/>
        <v>0.204</v>
      </c>
      <c r="BI4">
        <f t="shared" si="2"/>
        <v>0.19</v>
      </c>
      <c r="BJ4">
        <f t="shared" si="2"/>
        <v>0.172</v>
      </c>
      <c r="BK4">
        <f t="shared" si="2"/>
        <v>0.176</v>
      </c>
      <c r="BL4">
        <f t="shared" si="2"/>
        <v>0.252</v>
      </c>
    </row>
    <row r="10" spans="1:1">
      <c r="A10" t="s">
        <v>5</v>
      </c>
    </row>
    <row r="11" spans="1:12">
      <c r="A11" t="s">
        <v>6</v>
      </c>
      <c r="B11">
        <v>40.5</v>
      </c>
      <c r="C11">
        <v>40.6</v>
      </c>
      <c r="D11">
        <v>40.7</v>
      </c>
      <c r="E11">
        <v>40.8</v>
      </c>
      <c r="F11">
        <v>40.9</v>
      </c>
      <c r="G11">
        <v>41</v>
      </c>
      <c r="H11">
        <v>41.1</v>
      </c>
      <c r="I11">
        <v>41.2</v>
      </c>
      <c r="J11">
        <v>41.3</v>
      </c>
      <c r="K11">
        <v>41.4</v>
      </c>
      <c r="L11">
        <v>41.5</v>
      </c>
    </row>
    <row r="12" spans="1:12">
      <c r="A12" t="s">
        <v>7</v>
      </c>
      <c r="B12">
        <v>10.48</v>
      </c>
      <c r="C12">
        <v>10.88</v>
      </c>
      <c r="D12">
        <v>11.12</v>
      </c>
      <c r="E12">
        <v>11.2</v>
      </c>
      <c r="F12">
        <v>11.12</v>
      </c>
      <c r="G12">
        <v>10.56</v>
      </c>
      <c r="H12">
        <v>9.92</v>
      </c>
      <c r="I12">
        <v>8.96</v>
      </c>
      <c r="J12">
        <v>7.66</v>
      </c>
      <c r="K12">
        <v>6.4</v>
      </c>
      <c r="L12">
        <v>5.12</v>
      </c>
    </row>
    <row r="13" spans="1:12">
      <c r="A13" t="s">
        <v>4</v>
      </c>
      <c r="B13">
        <f>B12/2</f>
        <v>5.24</v>
      </c>
      <c r="C13">
        <f t="shared" ref="C13:L13" si="3">C12/2</f>
        <v>5.44</v>
      </c>
      <c r="D13">
        <f t="shared" si="3"/>
        <v>5.56</v>
      </c>
      <c r="E13">
        <f t="shared" si="3"/>
        <v>5.6</v>
      </c>
      <c r="F13">
        <f t="shared" si="3"/>
        <v>5.56</v>
      </c>
      <c r="G13">
        <f t="shared" si="3"/>
        <v>5.28</v>
      </c>
      <c r="H13">
        <f t="shared" si="3"/>
        <v>4.96</v>
      </c>
      <c r="I13">
        <f t="shared" si="3"/>
        <v>4.48</v>
      </c>
      <c r="J13">
        <f t="shared" si="3"/>
        <v>3.83</v>
      </c>
      <c r="K13">
        <f t="shared" si="3"/>
        <v>3.2</v>
      </c>
      <c r="L13">
        <f t="shared" si="3"/>
        <v>2.56</v>
      </c>
    </row>
    <row r="14" spans="2:2">
      <c r="B14" s="1"/>
    </row>
    <row r="15" spans="1:11">
      <c r="A15" t="s">
        <v>8</v>
      </c>
      <c r="B15">
        <v>1</v>
      </c>
      <c r="C15">
        <v>2</v>
      </c>
      <c r="D15">
        <v>3</v>
      </c>
      <c r="E15">
        <v>4</v>
      </c>
      <c r="F15">
        <v>5</v>
      </c>
      <c r="G15">
        <v>6</v>
      </c>
      <c r="H15">
        <v>7</v>
      </c>
      <c r="I15">
        <v>8</v>
      </c>
      <c r="J15">
        <v>9</v>
      </c>
      <c r="K15">
        <v>10</v>
      </c>
    </row>
    <row r="16" spans="1:11">
      <c r="A16" t="s">
        <v>9</v>
      </c>
      <c r="B16">
        <v>0</v>
      </c>
      <c r="C16">
        <v>4.39</v>
      </c>
      <c r="D16">
        <v>8.63</v>
      </c>
      <c r="E16">
        <v>12.71</v>
      </c>
      <c r="F16">
        <v>16.92</v>
      </c>
      <c r="G16">
        <v>21.1</v>
      </c>
      <c r="H16">
        <v>25.52</v>
      </c>
      <c r="I16">
        <v>29.51</v>
      </c>
      <c r="J16">
        <v>34.01</v>
      </c>
      <c r="K16">
        <v>37.92</v>
      </c>
    </row>
    <row r="17" spans="1:11">
      <c r="A17" t="s">
        <v>10</v>
      </c>
      <c r="B17">
        <v>1.52</v>
      </c>
      <c r="C17">
        <v>1.48</v>
      </c>
      <c r="D17">
        <v>1.36</v>
      </c>
      <c r="E17">
        <v>1.24</v>
      </c>
      <c r="F17">
        <v>1.12</v>
      </c>
      <c r="G17">
        <v>1</v>
      </c>
      <c r="H17">
        <v>0.88</v>
      </c>
      <c r="I17">
        <v>0.84</v>
      </c>
      <c r="J17">
        <v>0.8</v>
      </c>
      <c r="K17">
        <v>0.76</v>
      </c>
    </row>
    <row r="20" spans="1:11">
      <c r="A20" t="s">
        <v>11</v>
      </c>
      <c r="B20">
        <v>4.27</v>
      </c>
      <c r="C20">
        <v>8.49</v>
      </c>
      <c r="D20">
        <v>12.64</v>
      </c>
      <c r="E20">
        <v>16.84</v>
      </c>
      <c r="F20">
        <v>21.08</v>
      </c>
      <c r="G20">
        <v>25.3</v>
      </c>
      <c r="H20">
        <v>29.49</v>
      </c>
      <c r="I20">
        <v>33.73</v>
      </c>
      <c r="J20">
        <v>37.95</v>
      </c>
      <c r="K20">
        <v>42.24</v>
      </c>
    </row>
    <row r="21" spans="2:11">
      <c r="B21">
        <v>2.92</v>
      </c>
      <c r="C21">
        <v>2.68</v>
      </c>
      <c r="D21">
        <v>2.44</v>
      </c>
      <c r="E21">
        <v>2.3</v>
      </c>
      <c r="F21">
        <v>2.28</v>
      </c>
      <c r="G21">
        <v>2.24</v>
      </c>
      <c r="H21">
        <v>2.36</v>
      </c>
      <c r="I21">
        <v>2.26</v>
      </c>
      <c r="J21">
        <v>2.08</v>
      </c>
      <c r="K21">
        <v>1.94</v>
      </c>
    </row>
    <row r="24" spans="1:2">
      <c r="A24" t="s">
        <v>12</v>
      </c>
      <c r="B24">
        <v>39.69</v>
      </c>
    </row>
    <row r="25" spans="1:2">
      <c r="A25" t="s">
        <v>13</v>
      </c>
      <c r="B25">
        <v>133</v>
      </c>
    </row>
    <row r="27" spans="1:2">
      <c r="A27" t="s">
        <v>12</v>
      </c>
      <c r="B27">
        <v>74.95</v>
      </c>
    </row>
    <row r="28" spans="1:2">
      <c r="A28" t="s">
        <v>13</v>
      </c>
      <c r="B28">
        <v>508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Mikasa</dc:creator>
  <cp:lastModifiedBy>邱凯锐</cp:lastModifiedBy>
  <dcterms:created xsi:type="dcterms:W3CDTF">2023-05-12T11:15:00Z</dcterms:created>
  <dcterms:modified xsi:type="dcterms:W3CDTF">2025-10-31T08:00:46Z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25DED68E55114320AD7E6A3BB564267A_12</vt:lpwstr>
  </property>
</Properties>
</file>