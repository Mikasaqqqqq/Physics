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71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<sst xmlns="http://schemas.openxmlformats.org/spreadsheetml/2006/main" count="12" uniqueCount="12">
  <si>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</t>
  </si>
  <si>
    <t>f0</t>
  </si>
  <si>
    <t>平均</t>
  </si>
  <si>
    <t>v</t>
  </si>
  <si>
    <t>f</t>
  </si>
  <si>
    <t>vf</t>
  </si>
  <si>
    <t>v^2</t>
  </si>
  <si>
    <t>k</t>
  </si>
  <si>
    <t>u</t>
  </si>
  <si>
    <t>次数 $i$</t>
  </si>
  <si>
    <t>摆长 $L_i(\mathrm{cm})$</t>
  </si>
  <si>
    <t>周期 $T_i(\mathrm{s})$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</si>
</sst>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A10" sqref="A10:E15"/>
    </sheetView>
  </sheetViews>
  <sheetFormatPr defaultColWidth="9" defaultRowHeight="14.1" outlineLevelCol="6"/>
  <cols>
    <col min="2" max="2" width="13.9369369369369"/>
    <col min="3" max="3" width="12.7837837837838"/>
    <col min="5" max="6" width="9.46846846846847"/>
    <col min="7" max="7" width="10.5495495495495"/>
  </cols>
  <sheetData>
    <row r="1" customHeight="1" spans="1:7">
      <c r="A1" t="s">
        <v>0</v>
      </c>
      <c r="B1">
        <v>15</v>
      </c>
      <c r="C1" t="s">
        <v>1</v>
      </c>
      <c r="D1">
        <v>40001</v>
      </c>
      <c r="G1" t="s">
        <v>2</v>
      </c>
    </row>
    <row r="2" spans="1:7">
      <c r="A2" t="s">
        <v>3</v>
      </c>
      <c r="B2">
        <v>0.9</v>
      </c>
      <c r="C2">
        <v>0.39</v>
      </c>
      <c r="D2">
        <v>0.75</v>
      </c>
      <c r="E2">
        <v>0.65</v>
      </c>
      <c r="F2">
        <v>0.56</v>
      </c>
      <c r="G2">
        <f>AVERAGE(B2:F2)</f>
        <v>0.65</v>
      </c>
    </row>
    <row r="3" customHeight="1" spans="1:7">
      <c r="A3" t="s">
        <v>4</v>
      </c>
      <c r="B3">
        <v>40105</v>
      </c>
      <c r="C3">
        <v>40054</v>
      </c>
      <c r="D3">
        <v>40088</v>
      </c>
      <c r="E3">
        <v>40077</v>
      </c>
      <c r="F3">
        <v>40066</v>
      </c>
      <c r="G3">
        <f>AVERAGE(B3:F3)</f>
        <v>40078</v>
      </c>
    </row>
    <row r="4" spans="1:7">
      <c r="A4" t="s">
        <v>5</v>
      </c>
      <c r="B4">
        <f>B2*B3</f>
        <v>36094.5</v>
      </c>
      <c r="C4">
        <f>C2*C3</f>
        <v>15621.06</v>
      </c>
      <c r="D4">
        <f>D2*D3</f>
        <v>30066</v>
      </c>
      <c r="E4">
        <f>E2*E3</f>
        <v>26050.05</v>
      </c>
      <c r="F4">
        <f>F2*F3</f>
        <v>22436.96</v>
      </c>
      <c r="G4">
        <f>AVERAGE(B4:F4)</f>
        <v>26053.714</v>
      </c>
    </row>
    <row r="5" customHeight="1" spans="1:7">
      <c r="A5" t="s">
        <v>6</v>
      </c>
      <c r="B5">
        <f>B2*B2</f>
        <v>0.81</v>
      </c>
      <c r="C5">
        <f>C2*C2</f>
        <v>0.1521</v>
      </c>
      <c r="D5">
        <f>D2*D2</f>
        <v>0.5625</v>
      </c>
      <c r="E5">
        <f>E2*E2</f>
        <v>0.4225</v>
      </c>
      <c r="F5">
        <f>F2*F2</f>
        <v>0.3136</v>
      </c>
      <c r="G5">
        <f>AVERAGE(B5:F5)</f>
        <v>0.45214</v>
      </c>
    </row>
    <row r="7" spans="1:2">
      <c r="A7" t="s">
        <v>7</v>
      </c>
      <c r="B7">
        <f>(G2*G3-G4)/(G2*G2-G5)</f>
        <v>101.68690958162</v>
      </c>
    </row>
    <row r="8" spans="1:3">
      <c r="A8" t="s">
        <v>8</v>
      </c>
      <c r="B8">
        <f>D1/B7</f>
        <v>393.374134041243</v>
      </c>
      <c r="C8">
        <f>(B8-339.97)/339.97</f>
        <v>0.157084842901559</v>
      </c>
    </row>
    <row r="10" spans="1:5">
      <c r="A10" s="1" t="s">
        <v>9</v>
      </c>
      <c r="B10" s="1">
        <v>1</v>
      </c>
      <c r="C10" s="1">
        <v>2</v>
      </c>
      <c r="D10" s="1">
        <v>3</v>
      </c>
      <c r="E10" s="1">
        <v>4</v>
      </c>
    </row>
    <row r="11" spans="1:5">
      <c r="A11" s="1"/>
      <c r="B11" s="1"/>
      <c r="C11" s="1"/>
      <c r="D11" s="1"/>
      <c r="E11" s="1"/>
    </row>
    <row r="12" spans="1:5">
      <c r="A12" s="1" t="s">
        <v>10</v>
      </c>
      <c r="B12" s="1">
        <v>29.2</v>
      </c>
      <c r="C12" s="1">
        <v>40.7</v>
      </c>
      <c r="D12" s="1">
        <v>52</v>
      </c>
      <c r="E12" s="1">
        <v>68.4</v>
      </c>
    </row>
    <row r="13" spans="1:5">
      <c r="A13" s="1"/>
      <c r="B13" s="1"/>
      <c r="C13" s="1"/>
      <c r="D13" s="1"/>
      <c r="E13" s="1"/>
    </row>
    <row r="14" spans="1:5">
      <c r="A14" s="1" t="s">
        <v>11</v>
      </c>
      <c r="B14" s="1">
        <v>1.19</v>
      </c>
      <c r="C14" s="1">
        <v>1.32</v>
      </c>
      <c r="D14" s="1">
        <v>1.58</v>
      </c>
      <c r="E14" s="1">
        <v>1.76</v>
      </c>
    </row>
    <row r="15" spans="1:5">
      <c r="A15" s="1"/>
      <c r="B15" s="1"/>
      <c r="C15" s="1"/>
      <c r="D15" s="1"/>
      <c r="E15" s="1"/>
    </row>
  </sheetData>
  <mergeCells count="15">
    <mergeCell ref="A10:A11"/>
    <mergeCell ref="A12:A13"/>
    <mergeCell ref="A14:A15"/>
    <mergeCell ref="B10:B11"/>
    <mergeCell ref="B12:B13"/>
    <mergeCell ref="B14:B15"/>
    <mergeCell ref="C10:C11"/>
    <mergeCell ref="C12:C13"/>
    <mergeCell ref="C14:C15"/>
    <mergeCell ref="D10:D11"/>
    <mergeCell ref="D12:D13"/>
    <mergeCell ref="D14:D15"/>
    <mergeCell ref="E10:E11"/>
    <mergeCell ref="E12:E13"/>
    <mergeCell ref="E14:E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" sqref="H3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3" sqref="H3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邱凯锐</cp:lastModifiedBy>
  <dcterms:created xsi:type="dcterms:W3CDTF">2023-05-12T11:15:00Z</dcterms:created>
  <dcterms:modified xsi:type="dcterms:W3CDTF">2025-10-24T05:23:40Z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2D825B95D7A0480BA15570D917120AFA_12</vt:lpwstr>
  </property>
</Properties>
</file>