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<sst xmlns="http://schemas.openxmlformats.org/spreadsheetml/2006/main" count="24" uniqueCount="24">
  <si>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a</t>
  </si>
  <si>
    <t>b</t>
  </si>
  <si>
    <t>D(mm)</t>
  </si>
  <si>
    <t>放大率 V=2</t>
  </si>
  <si>
    <t>D平均</t>
  </si>
  <si>
    <t>u_a</t>
  </si>
  <si>
    <t>u_b</t>
  </si>
  <si>
    <t>u</t>
  </si>
  <si>
    <t>v(ml)</t>
  </si>
  <si>
    <t>h0(cm)</t>
  </si>
  <si>
    <t>h1(cm)</t>
  </si>
  <si>
    <t>h2(cm)</t>
  </si>
  <si>
    <t>室温</t>
  </si>
  <si>
    <t>θ_e ℃</t>
  </si>
  <si>
    <t>θ1 ℃</t>
  </si>
  <si>
    <t>θ2 ℃</t>
  </si>
  <si>
    <t>θ ℃</t>
  </si>
  <si>
    <t>h1</t>
  </si>
  <si>
    <t>h2</t>
  </si>
  <si>
    <t>h0</t>
  </si>
  <si>
    <t>Δp</t>
  </si>
  <si>
    <t>V</t>
  </si>
  <si>
    <t>t_i</t>
  </si>
  <si>
    <t>η_i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</si>
</sst>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"/>
  <sheetViews>
    <sheetView tabSelected="1" zoomScale="115" zoomScaleNormal="115" workbookViewId="0">
      <selection activeCell="F20" sqref="F20"/>
    </sheetView>
  </sheetViews>
  <sheetFormatPr defaultColWidth="9" defaultRowHeight="14.1"/>
  <cols>
    <col min="1" max="1" width="11.8918918918919" customWidth="1"/>
    <col min="4" max="4" width="12.7837837837838"/>
    <col min="5" max="5" width="11.7297297297297" customWidth="1"/>
    <col min="7" max="7" width="12.7837837837838"/>
    <col min="11" max="13" width="12.7837837837838"/>
  </cols>
  <sheetData>
    <row r="1" spans="2:5">
      <c r="B1" t="s">
        <v>0</v>
      </c>
      <c r="C1" t="s">
        <v>1</v>
      </c>
      <c r="D1" t="s">
        <v>2</v>
      </c>
      <c r="E1" t="s">
        <v>3</v>
      </c>
    </row>
    <row r="2" spans="1:7">
      <c r="A2">
        <v>1</v>
      </c>
      <c r="B2">
        <v>2.282</v>
      </c>
      <c r="C2">
        <v>5.405</v>
      </c>
      <c r="D2">
        <f>(C2-B2)/(2*SQRT(2))</f>
        <v>1.10414723882279</v>
      </c>
      <c r="F2" t="s">
        <v>4</v>
      </c>
      <c r="G2">
        <f>AVERAGE(D2:D9)</f>
        <v>1.12217846174305</v>
      </c>
    </row>
    <row r="3" spans="1:7">
      <c r="A3">
        <v>2</v>
      </c>
      <c r="B3">
        <v>2.054</v>
      </c>
      <c r="C3">
        <v>5.23</v>
      </c>
      <c r="D3">
        <f t="shared" ref="D3:D9" si="0">(C3-B3)/(2*SQRT(2))</f>
        <v>1.12288556852424</v>
      </c>
      <c r="F3" t="s">
        <v>5</v>
      </c>
      <c r="G3">
        <v>0.00392</v>
      </c>
    </row>
    <row r="4" spans="1:7">
      <c r="A4">
        <v>3</v>
      </c>
      <c r="B4">
        <v>2.128</v>
      </c>
      <c r="C4">
        <v>5.322</v>
      </c>
      <c r="D4">
        <f t="shared" si="0"/>
        <v>1.12924952955492</v>
      </c>
      <c r="F4" t="s">
        <v>6</v>
      </c>
      <c r="G4">
        <v>0.000577</v>
      </c>
    </row>
    <row r="5" spans="1:7">
      <c r="A5">
        <v>4</v>
      </c>
      <c r="B5">
        <v>2.152</v>
      </c>
      <c r="C5">
        <v>5.358</v>
      </c>
      <c r="D5">
        <f t="shared" si="0"/>
        <v>1.13349217024204</v>
      </c>
      <c r="F5" t="s">
        <v>7</v>
      </c>
      <c r="G5">
        <v>0.00396</v>
      </c>
    </row>
    <row r="6" spans="1:4">
      <c r="A6">
        <v>5</v>
      </c>
      <c r="B6">
        <v>2.542</v>
      </c>
      <c r="C6">
        <v>5.724</v>
      </c>
      <c r="D6">
        <f t="shared" si="0"/>
        <v>1.1250068888678</v>
      </c>
    </row>
    <row r="7" spans="1:4">
      <c r="A7">
        <v>6</v>
      </c>
      <c r="B7">
        <v>2.584</v>
      </c>
      <c r="C7">
        <v>5.759</v>
      </c>
      <c r="D7">
        <f t="shared" si="0"/>
        <v>1.12253201513364</v>
      </c>
    </row>
    <row r="8" spans="1:4">
      <c r="A8">
        <v>7</v>
      </c>
      <c r="B8">
        <v>2.649</v>
      </c>
      <c r="C8">
        <v>5.803</v>
      </c>
      <c r="D8">
        <f t="shared" si="0"/>
        <v>1.11510739393119</v>
      </c>
    </row>
    <row r="9" spans="1:4">
      <c r="A9">
        <v>8</v>
      </c>
      <c r="B9">
        <v>2.611</v>
      </c>
      <c r="C9">
        <v>5.793</v>
      </c>
      <c r="D9">
        <f t="shared" si="0"/>
        <v>1.1250068888678</v>
      </c>
    </row>
    <row r="11" spans="1:2">
      <c r="A11" t="s">
        <v>8</v>
      </c>
      <c r="B11">
        <v>50</v>
      </c>
    </row>
    <row r="12" spans="1:2">
      <c r="A12" t="s">
        <v>9</v>
      </c>
      <c r="B12" s="1">
        <v>2</v>
      </c>
    </row>
    <row r="13" spans="1:2">
      <c r="A13" t="s">
        <v>10</v>
      </c>
      <c r="B13" s="1">
        <v>29</v>
      </c>
    </row>
    <row r="14" spans="1:2">
      <c r="A14" t="s">
        <v>11</v>
      </c>
      <c r="B14" s="1">
        <v>21.5</v>
      </c>
    </row>
    <row r="16" spans="1:1">
      <c r="A16" t="s">
        <v>12</v>
      </c>
    </row>
    <row r="17" spans="1:2">
      <c r="A17" t="s">
        <v>13</v>
      </c>
      <c r="B17">
        <v>19.9</v>
      </c>
    </row>
    <row r="18" spans="1:2">
      <c r="A18">
        <v>1</v>
      </c>
      <c r="B18">
        <v>19.9</v>
      </c>
    </row>
    <row r="19" spans="1:2">
      <c r="A19">
        <v>2</v>
      </c>
      <c r="B19">
        <v>19.9</v>
      </c>
    </row>
    <row r="25" spans="2:11">
      <c r="B25" t="s">
        <v>14</v>
      </c>
      <c r="C25" t="s">
        <v>15</v>
      </c>
      <c r="D25" t="s">
        <v>16</v>
      </c>
      <c r="E25" t="s">
        <v>17</v>
      </c>
      <c r="F25" t="s">
        <v>18</v>
      </c>
      <c r="G25" t="s">
        <v>19</v>
      </c>
      <c r="H25" t="s">
        <v>20</v>
      </c>
      <c r="I25" t="s">
        <v>21</v>
      </c>
      <c r="J25" t="s">
        <v>22</v>
      </c>
      <c r="K25" t="s">
        <v>23</v>
      </c>
    </row>
    <row r="26" spans="1:13">
      <c r="A26">
        <v>1</v>
      </c>
      <c r="B26">
        <v>19.7</v>
      </c>
      <c r="C26">
        <v>19.9</v>
      </c>
      <c r="D26">
        <v>19.8</v>
      </c>
      <c r="E26" s="1">
        <v>29</v>
      </c>
      <c r="F26" s="1">
        <v>21.5</v>
      </c>
      <c r="G26" s="1">
        <v>2</v>
      </c>
      <c r="H26">
        <f>1000*9.8*((E26+F26)/2-G26)*0.01</f>
        <v>2278.5</v>
      </c>
      <c r="I26">
        <v>50</v>
      </c>
      <c r="J26">
        <v>180.33</v>
      </c>
      <c r="K26">
        <f>(PI()*(G2*0.001)^4*H26*J26)/(128*I26*0.000001*0.3)</f>
        <v>0.00106613788277905</v>
      </c>
      <c r="L26">
        <f>0.6007*(D26+43.252)^(-1.5423)</f>
        <v>0.00100689009714623</v>
      </c>
      <c r="M26">
        <f>(K26-L26)/L26</f>
        <v>0.0588423560830933</v>
      </c>
    </row>
    <row r="27" spans="1:13">
      <c r="A27">
        <v>2</v>
      </c>
      <c r="B27">
        <v>20.3</v>
      </c>
      <c r="C27">
        <v>19.9</v>
      </c>
      <c r="D27">
        <v>20.1</v>
      </c>
      <c r="E27" s="1">
        <v>29</v>
      </c>
      <c r="F27" s="1">
        <v>21.5</v>
      </c>
      <c r="G27" s="1">
        <v>2</v>
      </c>
      <c r="H27">
        <f>1000*9.8*((E27+F27)/2-G27)*0.01</f>
        <v>2278.5</v>
      </c>
      <c r="I27">
        <v>50</v>
      </c>
      <c r="J27">
        <v>181.75</v>
      </c>
      <c r="K27">
        <f>(PI()*(G2*0.001)^4*H27*J27)/(128*I27*0.000001*0.3)</f>
        <v>0.00107453313478119</v>
      </c>
      <c r="L27">
        <f>0.6007*(D27+43.252)^(-1.5423)</f>
        <v>0.000999545745725464</v>
      </c>
      <c r="M27">
        <f>(K27-L27)/L27</f>
        <v>0.0750214678781887</v>
      </c>
    </row>
    <row r="28" spans="1:13">
      <c r="A28">
        <v>3</v>
      </c>
      <c r="B28">
        <v>19.9</v>
      </c>
      <c r="C28">
        <v>19.9</v>
      </c>
      <c r="D28">
        <v>19.9</v>
      </c>
      <c r="E28" s="1">
        <v>29</v>
      </c>
      <c r="F28" s="1">
        <v>21.5</v>
      </c>
      <c r="G28" s="1">
        <v>2</v>
      </c>
      <c r="H28">
        <f>1000*9.8*((E28+F28)/2-G28)*0.01</f>
        <v>2278.5</v>
      </c>
      <c r="I28">
        <v>50</v>
      </c>
      <c r="J28">
        <v>180.18</v>
      </c>
      <c r="K28">
        <f>(PI()*(G2*0.001)^4*H28*J28)/(128*I28*0.000001*0.3)</f>
        <v>0.00106525106038445</v>
      </c>
      <c r="L28">
        <f>0.6007*(D28+43.252)^(-1.5423)</f>
        <v>0.00100443212325833</v>
      </c>
      <c r="M28">
        <f>(K28-L28)/L28</f>
        <v>0.060550569538561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Mikasa</dc:creator>
  <cp:lastModifiedBy>Mikasa</cp:lastModifiedBy>
  <dcterms:created xsi:type="dcterms:W3CDTF">2023-05-12T11:15:00Z</dcterms:created>
  <dcterms:modified xsi:type="dcterms:W3CDTF">2025-10-10T04:46:32Z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BB835B9E921C4F2EA5492BBF5AB01D56_12</vt:lpwstr>
  </property>
</Properties>
</file>