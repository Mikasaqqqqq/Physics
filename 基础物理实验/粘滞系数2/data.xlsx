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<sst xmlns="http://schemas.openxmlformats.org/spreadsheetml/2006/main" count="21" uniqueCount="9">
  <si>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风速-频率</t>
  </si>
  <si>
    <t>v(m/s)</t>
  </si>
  <si>
    <t>f(Hz)</t>
  </si>
  <si>
    <t>l1(cm)</t>
  </si>
  <si>
    <t>m(g)</t>
  </si>
  <si>
    <t>d(cm)</t>
  </si>
  <si>
    <t>Δd(cm)</t>
  </si>
  <si>
    <t>θ</t>
  </si>
  <si>
    <t>l2(cm)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</si>
</sst>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workbookViewId="0">
      <selection activeCell="A22" sqref="A22:G29"/>
    </sheetView>
  </sheetViews>
  <sheetFormatPr defaultColWidth="9" defaultRowHeight="14.1"/>
  <cols>
    <col min="2" max="13" width="12.8558558558559"/>
  </cols>
  <sheetData>
    <row r="1" spans="1:1">
      <c r="A1" t="s">
        <v>0</v>
      </c>
    </row>
    <row r="2" spans="1:13">
      <c r="A2" t="s">
        <v>1</v>
      </c>
      <c r="B2">
        <v>0.51</v>
      </c>
      <c r="C2">
        <v>0.66</v>
      </c>
      <c r="D2">
        <v>1.1</v>
      </c>
      <c r="E2">
        <v>1.47</v>
      </c>
      <c r="F2">
        <v>1.76</v>
      </c>
      <c r="G2">
        <v>2.02</v>
      </c>
      <c r="H2">
        <v>2.24</v>
      </c>
      <c r="I2">
        <v>2.48</v>
      </c>
      <c r="J2">
        <v>2.71</v>
      </c>
      <c r="K2">
        <v>2.87</v>
      </c>
      <c r="L2">
        <v>3.06</v>
      </c>
      <c r="M2">
        <v>3.28</v>
      </c>
    </row>
    <row r="3" spans="1:13">
      <c r="A3" t="s">
        <v>2</v>
      </c>
      <c r="B3">
        <v>7.85</v>
      </c>
      <c r="C3">
        <v>10.58</v>
      </c>
      <c r="D3">
        <v>15.63</v>
      </c>
      <c r="E3">
        <v>20.05</v>
      </c>
      <c r="F3">
        <v>24.04</v>
      </c>
      <c r="G3">
        <v>27.62</v>
      </c>
      <c r="H3">
        <v>30.86</v>
      </c>
      <c r="I3">
        <v>33.94</v>
      </c>
      <c r="J3">
        <v>36.76</v>
      </c>
      <c r="K3">
        <v>39.47</v>
      </c>
      <c r="L3">
        <v>41.67</v>
      </c>
      <c r="M3">
        <v>43.86</v>
      </c>
    </row>
    <row r="5" spans="1:2">
      <c r="A5" t="s">
        <v>3</v>
      </c>
      <c r="B5">
        <v>16</v>
      </c>
    </row>
    <row r="6" spans="1:2">
      <c r="A6" t="s">
        <v>4</v>
      </c>
      <c r="B6">
        <v>2.768</v>
      </c>
    </row>
    <row r="7" spans="1:2">
      <c r="A7" t="s">
        <v>5</v>
      </c>
      <c r="B7">
        <v>4.01</v>
      </c>
    </row>
    <row r="9" spans="1:7">
      <c r="A9" t="s">
        <v>2</v>
      </c>
      <c r="B9">
        <v>7.25</v>
      </c>
      <c r="C9">
        <v>9.85</v>
      </c>
      <c r="D9">
        <v>14.79</v>
      </c>
      <c r="E9">
        <v>19.23</v>
      </c>
      <c r="F9">
        <v>23.15</v>
      </c>
      <c r="G9">
        <v>26.88</v>
      </c>
    </row>
    <row r="10" spans="1:7">
      <c r="A10" t="s">
        <v>1</v>
      </c>
      <c r="B10" s="1">
        <f>0.0762*B9-0.0967</f>
        <v>0.45575</v>
      </c>
      <c r="C10" s="1">
        <f>0.0762*C9-0.0967</f>
        <v>0.65387</v>
      </c>
      <c r="D10" s="1">
        <f>0.0762*D9-0.0967</f>
        <v>1.030298</v>
      </c>
      <c r="E10" s="1">
        <f>0.0762*E9-0.0967</f>
        <v>1.368626</v>
      </c>
      <c r="F10" s="1">
        <f>0.0762*F9-0.0967</f>
        <v>1.66733</v>
      </c>
      <c r="G10" s="1">
        <f>0.0762*G9-0.0967</f>
        <v>1.951556</v>
      </c>
    </row>
    <row r="11" spans="1:7">
      <c r="A11" t="s">
        <v>6</v>
      </c>
      <c r="B11">
        <v>0.1</v>
      </c>
      <c r="C11">
        <v>0.2</v>
      </c>
      <c r="D11">
        <v>0.25</v>
      </c>
      <c r="E11">
        <v>0.4</v>
      </c>
      <c r="F11">
        <v>0.55</v>
      </c>
      <c r="G11">
        <v>0.8</v>
      </c>
    </row>
    <row r="12" spans="1:7">
      <c r="A12" t="s">
        <v>7</v>
      </c>
      <c r="B12" s="2">
        <f>ATAN(B11/16)</f>
        <v>0.00624991862169896</v>
      </c>
      <c r="C12" s="2">
        <f>ATAN(C11/16)</f>
        <v>0.0124993490193617</v>
      </c>
      <c r="D12" s="2">
        <f>ATAN(D11/16)</f>
        <v>0.0156237286204768</v>
      </c>
      <c r="E12" s="2">
        <f>ATAN(E11/16)</f>
        <v>0.0249947936189202</v>
      </c>
      <c r="F12" s="2">
        <f>ATAN(F11/16)</f>
        <v>0.0343614699591315</v>
      </c>
      <c r="G12" s="2">
        <f>ATAN(G11/16)</f>
        <v>0.0499583957219428</v>
      </c>
    </row>
    <row r="13" spans="1:13">
      <c r="A13" t="s">
        <v>2</v>
      </c>
      <c r="B13">
        <v>30.34</v>
      </c>
      <c r="C13">
        <v>33.56</v>
      </c>
      <c r="D13">
        <v>36.59</v>
      </c>
      <c r="E13">
        <v>39.27</v>
      </c>
      <c r="F13">
        <v>41.84</v>
      </c>
      <c r="G13">
        <v>44.25</v>
      </c>
      <c r="H13" s="2"/>
      <c r="I13" s="2"/>
      <c r="J13" s="2"/>
      <c r="K13" s="2"/>
      <c r="L13" s="2"/>
      <c r="M13" s="2"/>
    </row>
    <row r="14" spans="1:13">
      <c r="A14" t="s">
        <v>1</v>
      </c>
      <c r="B14" s="1">
        <f t="shared" ref="B14:G14" si="0">0.0762*B13-0.0967</f>
        <v>2.215208</v>
      </c>
      <c r="C14" s="1">
        <f t="shared" si="0"/>
        <v>2.460572</v>
      </c>
      <c r="D14" s="1">
        <f t="shared" si="0"/>
        <v>2.691458</v>
      </c>
      <c r="E14" s="1">
        <f t="shared" si="0"/>
        <v>2.895674</v>
      </c>
      <c r="F14" s="1">
        <f t="shared" si="0"/>
        <v>3.091508</v>
      </c>
      <c r="G14" s="1">
        <f t="shared" si="0"/>
        <v>3.27515</v>
      </c>
      <c r="H14" s="2"/>
      <c r="I14" s="2"/>
      <c r="J14" s="2"/>
      <c r="K14" s="2"/>
      <c r="L14" s="2"/>
      <c r="M14" s="2"/>
    </row>
    <row r="15" spans="1:13">
      <c r="A15" t="s">
        <v>6</v>
      </c>
      <c r="B15">
        <v>1</v>
      </c>
      <c r="C15">
        <v>1.2</v>
      </c>
      <c r="D15">
        <v>1.3</v>
      </c>
      <c r="E15">
        <v>1.5</v>
      </c>
      <c r="F15">
        <v>1.7</v>
      </c>
      <c r="G15">
        <v>2.2</v>
      </c>
      <c r="H15" s="2"/>
      <c r="I15" s="2"/>
      <c r="J15" s="2"/>
      <c r="K15" s="2"/>
      <c r="L15" s="2"/>
      <c r="M15" s="2"/>
    </row>
    <row r="16" spans="1:13">
      <c r="A16" t="s">
        <v>7</v>
      </c>
      <c r="B16" s="2">
        <f t="shared" ref="B16:G16" si="1">ATAN(B15/16)</f>
        <v>0.0624188099959574</v>
      </c>
      <c r="C16" s="2">
        <f t="shared" si="1"/>
        <v>0.0748598477107669</v>
      </c>
      <c r="D16" s="2">
        <f t="shared" si="1"/>
        <v>0.081071912545164</v>
      </c>
      <c r="E16" s="2">
        <f t="shared" si="1"/>
        <v>0.0934767811585895</v>
      </c>
      <c r="F16" s="2">
        <f t="shared" si="1"/>
        <v>0.105852865551173</v>
      </c>
      <c r="G16" s="2">
        <f t="shared" si="1"/>
        <v>0.136643162491087</v>
      </c>
      <c r="H16" s="2"/>
      <c r="I16" s="2"/>
      <c r="J16" s="2"/>
      <c r="K16" s="2"/>
      <c r="L16" s="2"/>
      <c r="M16" s="2"/>
    </row>
    <row r="17" spans="2:7">
      <c r="B17" s="2"/>
      <c r="C17" s="2"/>
      <c r="D17" s="2"/>
      <c r="E17" s="2"/>
      <c r="F17" s="2"/>
      <c r="G17" s="2"/>
    </row>
    <row r="18" spans="1:2">
      <c r="A18" t="s">
        <v>8</v>
      </c>
      <c r="B18">
        <v>17</v>
      </c>
    </row>
    <row r="19" spans="1:2">
      <c r="A19" t="s">
        <v>4</v>
      </c>
      <c r="B19">
        <v>3.134</v>
      </c>
    </row>
    <row r="20" spans="1:2">
      <c r="A20" t="s">
        <v>5</v>
      </c>
      <c r="B20">
        <v>3.608</v>
      </c>
    </row>
    <row r="22" spans="1:7">
      <c r="A22" t="s">
        <v>2</v>
      </c>
      <c r="B22">
        <v>7.85</v>
      </c>
      <c r="C22">
        <v>10.58</v>
      </c>
      <c r="D22">
        <v>15.63</v>
      </c>
      <c r="E22">
        <v>20.05</v>
      </c>
      <c r="F22">
        <v>24.04</v>
      </c>
      <c r="G22">
        <v>27.65</v>
      </c>
    </row>
    <row r="23" spans="1:13">
      <c r="A23" t="s">
        <v>1</v>
      </c>
      <c r="B23" s="1">
        <f t="shared" ref="B23:M23" si="2">0.0762*B22-0.0967</f>
        <v>0.50147</v>
      </c>
      <c r="C23" s="1">
        <f t="shared" si="2"/>
        <v>0.709496</v>
      </c>
      <c r="D23" s="1">
        <f t="shared" si="2"/>
        <v>1.094306</v>
      </c>
      <c r="E23" s="1">
        <f t="shared" si="2"/>
        <v>1.43111</v>
      </c>
      <c r="F23" s="1">
        <f t="shared" si="2"/>
        <v>1.735148</v>
      </c>
      <c r="G23" s="1">
        <f t="shared" si="2"/>
        <v>2.01023</v>
      </c>
      <c r="H23" s="1"/>
      <c r="I23" s="1"/>
      <c r="J23" s="1"/>
      <c r="K23" s="1"/>
      <c r="L23" s="1"/>
      <c r="M23" s="1"/>
    </row>
    <row r="24" spans="1:7">
      <c r="A24" t="s">
        <v>6</v>
      </c>
      <c r="B24">
        <v>0.05</v>
      </c>
      <c r="C24">
        <v>0.9</v>
      </c>
      <c r="D24">
        <v>0.2</v>
      </c>
      <c r="E24">
        <v>0.3</v>
      </c>
      <c r="F24">
        <v>0.45</v>
      </c>
      <c r="G24">
        <v>0.6</v>
      </c>
    </row>
    <row r="25" spans="1:13">
      <c r="A25" t="s">
        <v>7</v>
      </c>
      <c r="B25" s="2">
        <f>ATAN(B24/17)</f>
        <v>0.00294116798973124</v>
      </c>
      <c r="C25" s="2">
        <f t="shared" ref="C25:L25" si="3">ATAN(C24/17)</f>
        <v>0.0528917988657201</v>
      </c>
      <c r="D25" s="2">
        <f t="shared" si="3"/>
        <v>0.0117641631497587</v>
      </c>
      <c r="E25" s="2">
        <f t="shared" si="3"/>
        <v>0.0176452272911229</v>
      </c>
      <c r="F25" s="2">
        <f t="shared" si="3"/>
        <v>0.0264644082564064</v>
      </c>
      <c r="G25" s="2">
        <f t="shared" si="3"/>
        <v>0.0352794735935913</v>
      </c>
      <c r="H25" s="2"/>
      <c r="I25" s="2"/>
      <c r="J25" s="2"/>
      <c r="K25" s="2"/>
      <c r="L25" s="2"/>
      <c r="M25" s="2"/>
    </row>
    <row r="26" spans="2:7">
      <c r="B26">
        <v>31.06</v>
      </c>
      <c r="C26">
        <v>34.25</v>
      </c>
      <c r="D26">
        <v>37.04</v>
      </c>
      <c r="E26">
        <v>39.68</v>
      </c>
      <c r="F26">
        <v>42.02</v>
      </c>
      <c r="G26">
        <v>44.44</v>
      </c>
    </row>
    <row r="27" spans="2:7">
      <c r="B27" s="1">
        <f t="shared" ref="B27:G27" si="4">0.0762*B26-0.0967</f>
        <v>2.270072</v>
      </c>
      <c r="C27" s="1">
        <f t="shared" si="4"/>
        <v>2.51315</v>
      </c>
      <c r="D27" s="1">
        <f t="shared" si="4"/>
        <v>2.725748</v>
      </c>
      <c r="E27" s="1">
        <f t="shared" si="4"/>
        <v>2.926916</v>
      </c>
      <c r="F27" s="1">
        <f t="shared" si="4"/>
        <v>3.105224</v>
      </c>
      <c r="G27" s="1">
        <f t="shared" si="4"/>
        <v>3.289628</v>
      </c>
    </row>
    <row r="28" spans="2:7">
      <c r="B28">
        <v>0.8</v>
      </c>
      <c r="C28">
        <v>1</v>
      </c>
      <c r="D28">
        <v>1.2</v>
      </c>
      <c r="E28">
        <v>1.4</v>
      </c>
      <c r="F28">
        <v>1.5</v>
      </c>
      <c r="G28">
        <v>1.7</v>
      </c>
    </row>
    <row r="29" spans="2:7">
      <c r="B29" s="2">
        <f t="shared" ref="B29:G29" si="5">ATAN(B28/17)</f>
        <v>0.0470241318427462</v>
      </c>
      <c r="C29" s="2">
        <f t="shared" si="5"/>
        <v>0.0587558227157227</v>
      </c>
      <c r="D29" s="2">
        <f t="shared" si="5"/>
        <v>0.0704713445787956</v>
      </c>
      <c r="E29" s="2">
        <f t="shared" si="5"/>
        <v>0.0821675223617</v>
      </c>
      <c r="F29" s="2">
        <f t="shared" si="5"/>
        <v>0.0880073735277408</v>
      </c>
      <c r="G29" s="2">
        <f t="shared" si="5"/>
        <v>0.099668652491162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2025-10-17T06:48:00Z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27F0A726E5B349F2A10B109899844094_12</vt:lpwstr>
  </property>
</Properties>
</file>