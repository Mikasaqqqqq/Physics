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<sst xmlns="http://schemas.openxmlformats.org/spreadsheetml/2006/main" count="33" uniqueCount="20">
  <si>
    <t>l/mm</t>
  </si>
  <si>
    <t>S/mm^2</t>
  </si>
  <si>
    <t>N</t>
  </si>
  <si>
    <t>R1/Omega</t>
  </si>
  <si>
    <t>R2/K\Omega</t>
  </si>
  <si>
    <t>C/\mu F</t>
  </si>
  <si>
    <t>u1/mV</t>
  </si>
  <si>
    <t>H_m</t>
  </si>
  <si>
    <t>u2/mV</t>
  </si>
  <si>
    <t>B_m</t>
  </si>
  <si>
    <t>ur/mV</t>
  </si>
  <si>
    <t>B_r</t>
  </si>
  <si>
    <t>uc/mV</t>
  </si>
  <si>
    <t>H_c</t>
  </si>
  <si>
    <t>i</t>
  </si>
  <si>
    <t>Hi A/m</t>
  </si>
  <si>
    <t>Bi mT</t>
  </si>
  <si>
    <t>硬磁</t>
  </si>
  <si>
    <t>u1/V</t>
  </si>
  <si>
    <t>uc/V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</si>
</sst>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tabSelected="1" workbookViewId="0">
      <selection activeCell="D26" sqref="D26"/>
    </sheetView>
  </sheetViews>
  <sheetFormatPr defaultColWidth="9" defaultRowHeight="14.1"/>
  <cols>
    <col min="2" max="11" width="12.7837837837838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119.38</v>
      </c>
      <c r="B2">
        <v>1134.11</v>
      </c>
      <c r="C2">
        <v>200</v>
      </c>
      <c r="D2">
        <v>2</v>
      </c>
      <c r="E2">
        <v>50000</v>
      </c>
      <c r="F2">
        <v>4.7</v>
      </c>
    </row>
    <row r="4" spans="1:5">
      <c r="A4">
        <v>606.3</v>
      </c>
      <c r="B4" t="s">
        <v>6</v>
      </c>
      <c r="C4">
        <f>A4/2</f>
        <v>303.15</v>
      </c>
      <c r="D4" t="s">
        <v>7</v>
      </c>
      <c r="E4">
        <f>C2*C4/(A2*D2)</f>
        <v>253.937007874016</v>
      </c>
    </row>
    <row r="5" spans="1:5">
      <c r="A5">
        <v>37.2</v>
      </c>
      <c r="B5" t="s">
        <v>8</v>
      </c>
      <c r="C5">
        <f>A5/2</f>
        <v>18.6</v>
      </c>
      <c r="D5" t="s">
        <v>9</v>
      </c>
      <c r="E5">
        <f>E2*F2*C5/(C2*B2)</f>
        <v>19.2706174886034</v>
      </c>
    </row>
    <row r="6" spans="1:5">
      <c r="A6">
        <v>20.8</v>
      </c>
      <c r="B6" t="s">
        <v>10</v>
      </c>
      <c r="C6">
        <f>A6/2</f>
        <v>10.4</v>
      </c>
      <c r="D6" t="s">
        <v>11</v>
      </c>
      <c r="E6">
        <f>E2*F2*C6/(C2*B2)</f>
        <v>10.7749689183589</v>
      </c>
    </row>
    <row r="7" spans="1:5">
      <c r="A7">
        <v>54.7</v>
      </c>
      <c r="B7" t="s">
        <v>12</v>
      </c>
      <c r="C7">
        <f>A7/2</f>
        <v>27.35</v>
      </c>
      <c r="D7" t="s">
        <v>13</v>
      </c>
      <c r="E7">
        <f>C2*C7/(A2*D2)</f>
        <v>22.9100351817725</v>
      </c>
    </row>
    <row r="9" spans="1:11">
      <c r="A9" t="s">
        <v>14</v>
      </c>
      <c r="B9">
        <v>1</v>
      </c>
      <c r="C9">
        <v>2</v>
      </c>
      <c r="D9">
        <v>3</v>
      </c>
      <c r="E9">
        <v>4</v>
      </c>
      <c r="F9">
        <v>5</v>
      </c>
      <c r="G9">
        <v>6</v>
      </c>
      <c r="H9">
        <v>7</v>
      </c>
      <c r="I9">
        <v>8</v>
      </c>
      <c r="J9">
        <v>9</v>
      </c>
      <c r="K9">
        <v>10</v>
      </c>
    </row>
    <row r="10" spans="1:11">
      <c r="A10" t="s">
        <v>6</v>
      </c>
      <c r="B10">
        <v>46.56</v>
      </c>
      <c r="C10">
        <v>53.28</v>
      </c>
      <c r="D10">
        <v>55.78</v>
      </c>
      <c r="E10">
        <v>57.66</v>
      </c>
      <c r="F10">
        <v>60.31</v>
      </c>
      <c r="G10">
        <v>64.06</v>
      </c>
      <c r="H10">
        <v>81.25</v>
      </c>
      <c r="I10">
        <v>94.69</v>
      </c>
      <c r="J10">
        <v>104.37</v>
      </c>
      <c r="K10">
        <v>123.44</v>
      </c>
    </row>
    <row r="11" spans="1:11">
      <c r="A11" t="s">
        <v>8</v>
      </c>
      <c r="B11">
        <v>6.62</v>
      </c>
      <c r="C11">
        <v>7.81</v>
      </c>
      <c r="D11">
        <v>8.38</v>
      </c>
      <c r="E11">
        <v>8.94</v>
      </c>
      <c r="F11">
        <v>9.63</v>
      </c>
      <c r="G11">
        <v>10.3</v>
      </c>
      <c r="H11">
        <v>12.9</v>
      </c>
      <c r="I11">
        <v>14.2</v>
      </c>
      <c r="J11">
        <v>17.5</v>
      </c>
      <c r="K11">
        <v>20.3</v>
      </c>
    </row>
    <row r="12" spans="1:11">
      <c r="A12" t="s">
        <v>15</v>
      </c>
      <c r="B12">
        <f>B10/2*200/(2*119.38)</f>
        <v>19.5007538951248</v>
      </c>
      <c r="C12">
        <f t="shared" ref="C12:K12" si="0">C10/2*200/(2*119.38)</f>
        <v>22.3152956944212</v>
      </c>
      <c r="D12">
        <f t="shared" si="0"/>
        <v>23.3623722566594</v>
      </c>
      <c r="E12">
        <f t="shared" si="0"/>
        <v>24.1497738314626</v>
      </c>
      <c r="F12">
        <f t="shared" si="0"/>
        <v>25.2596749874351</v>
      </c>
      <c r="G12">
        <f t="shared" si="0"/>
        <v>26.8302898307924</v>
      </c>
      <c r="H12">
        <f t="shared" si="0"/>
        <v>34.0299882727425</v>
      </c>
      <c r="I12">
        <f t="shared" si="0"/>
        <v>39.6590718713352</v>
      </c>
      <c r="J12">
        <f t="shared" si="0"/>
        <v>43.7133523203217</v>
      </c>
      <c r="K12">
        <f t="shared" si="0"/>
        <v>51.7004523370749</v>
      </c>
    </row>
    <row r="13" spans="1:11">
      <c r="A13" t="s">
        <v>16</v>
      </c>
      <c r="B13">
        <f>B11/2*50000*4.7/(200*1134.11)</f>
        <v>3.42934106920845</v>
      </c>
      <c r="C13">
        <f t="shared" ref="C13:K13" si="1">C11/2*50000*4.7/(200*1134.11)</f>
        <v>4.04579361790303</v>
      </c>
      <c r="D13">
        <f t="shared" si="1"/>
        <v>4.34106920845421</v>
      </c>
      <c r="E13">
        <f t="shared" si="1"/>
        <v>4.63116452548695</v>
      </c>
      <c r="F13">
        <f t="shared" si="1"/>
        <v>4.98860339825943</v>
      </c>
      <c r="G13">
        <f t="shared" si="1"/>
        <v>5.33568172399503</v>
      </c>
      <c r="H13">
        <f t="shared" si="1"/>
        <v>6.68255283878989</v>
      </c>
      <c r="I13">
        <f t="shared" si="1"/>
        <v>7.35598839618732</v>
      </c>
      <c r="J13">
        <f t="shared" si="1"/>
        <v>9.06547865727311</v>
      </c>
      <c r="K13">
        <f t="shared" si="1"/>
        <v>10.5159552424368</v>
      </c>
    </row>
    <row r="15" spans="1:11">
      <c r="A15" t="s">
        <v>14</v>
      </c>
      <c r="B15">
        <v>11</v>
      </c>
      <c r="C15">
        <v>12</v>
      </c>
      <c r="D15">
        <v>13</v>
      </c>
      <c r="E15">
        <v>14</v>
      </c>
      <c r="F15">
        <v>15</v>
      </c>
      <c r="G15">
        <v>16</v>
      </c>
      <c r="H15">
        <v>17</v>
      </c>
      <c r="I15">
        <v>18</v>
      </c>
      <c r="J15">
        <v>19</v>
      </c>
      <c r="K15">
        <v>20</v>
      </c>
    </row>
    <row r="16" spans="1:11">
      <c r="A16" t="s">
        <v>6</v>
      </c>
      <c r="B16">
        <v>150</v>
      </c>
      <c r="C16">
        <v>170</v>
      </c>
      <c r="D16">
        <v>208.13</v>
      </c>
      <c r="E16">
        <v>257.8</v>
      </c>
      <c r="F16">
        <v>325</v>
      </c>
      <c r="G16">
        <v>426.6</v>
      </c>
      <c r="H16">
        <v>517.2</v>
      </c>
      <c r="I16">
        <v>606.3</v>
      </c>
      <c r="J16">
        <v>746.9</v>
      </c>
      <c r="K16">
        <v>928.1</v>
      </c>
    </row>
    <row r="17" spans="1:11">
      <c r="A17" t="s">
        <v>8</v>
      </c>
      <c r="B17">
        <v>23.1</v>
      </c>
      <c r="C17">
        <v>25.2</v>
      </c>
      <c r="D17">
        <v>28.3</v>
      </c>
      <c r="E17">
        <v>30.9</v>
      </c>
      <c r="F17">
        <v>33.4</v>
      </c>
      <c r="G17">
        <v>35.5</v>
      </c>
      <c r="H17">
        <v>37</v>
      </c>
      <c r="I17">
        <v>37.5</v>
      </c>
      <c r="J17">
        <v>40.6</v>
      </c>
      <c r="K17">
        <v>41.9</v>
      </c>
    </row>
    <row r="18" spans="1:11">
      <c r="A18" t="s">
        <v>15</v>
      </c>
      <c r="B18">
        <f>B16/2*200/(119.38*2)</f>
        <v>62.8245937342939</v>
      </c>
      <c r="C18">
        <f t="shared" ref="C18:K18" si="2">C16/2*200/(119.38*2)</f>
        <v>71.2012062321997</v>
      </c>
      <c r="D18">
        <f t="shared" si="2"/>
        <v>87.1712179594572</v>
      </c>
      <c r="E18">
        <f t="shared" si="2"/>
        <v>107.974535098006</v>
      </c>
      <c r="F18">
        <f t="shared" si="2"/>
        <v>136.11995309097</v>
      </c>
      <c r="G18">
        <f t="shared" si="2"/>
        <v>178.673144580332</v>
      </c>
      <c r="H18">
        <f t="shared" si="2"/>
        <v>216.619199195845</v>
      </c>
      <c r="I18">
        <f t="shared" si="2"/>
        <v>253.937007874016</v>
      </c>
      <c r="J18">
        <f t="shared" si="2"/>
        <v>312.824593734294</v>
      </c>
      <c r="K18">
        <f t="shared" si="2"/>
        <v>388.716702965321</v>
      </c>
    </row>
    <row r="19" spans="1:11">
      <c r="A19" t="s">
        <v>16</v>
      </c>
      <c r="B19">
        <f t="shared" ref="B19:K19" si="3">B17/2*50000*4.7/(200*1134.11)</f>
        <v>11.9664318276005</v>
      </c>
      <c r="C19">
        <f t="shared" si="3"/>
        <v>13.0542892664733</v>
      </c>
      <c r="D19">
        <f t="shared" si="3"/>
        <v>14.6601740571902</v>
      </c>
      <c r="E19">
        <f t="shared" si="3"/>
        <v>16.0070451719851</v>
      </c>
      <c r="F19">
        <f t="shared" si="3"/>
        <v>17.3021135515955</v>
      </c>
      <c r="G19">
        <f t="shared" si="3"/>
        <v>18.3899709904683</v>
      </c>
      <c r="H19">
        <f t="shared" si="3"/>
        <v>19.1670120182346</v>
      </c>
      <c r="I19">
        <f t="shared" si="3"/>
        <v>19.4260256941567</v>
      </c>
      <c r="J19">
        <f t="shared" si="3"/>
        <v>21.0319104848736</v>
      </c>
      <c r="K19">
        <f t="shared" si="3"/>
        <v>21.705346042271</v>
      </c>
    </row>
    <row r="22" spans="1:1">
      <c r="A22" t="s">
        <v>17</v>
      </c>
    </row>
    <row r="23" spans="1:4">
      <c r="A23" t="s">
        <v>18</v>
      </c>
      <c r="B23">
        <v>4.25</v>
      </c>
      <c r="C23" t="s">
        <v>7</v>
      </c>
      <c r="D23">
        <f>B23/2*1000*C2/(2*119.38)</f>
        <v>1780.03015580499</v>
      </c>
    </row>
    <row r="24" spans="1:4">
      <c r="A24" t="s">
        <v>8</v>
      </c>
      <c r="B24">
        <v>45.9</v>
      </c>
      <c r="C24" t="s">
        <v>9</v>
      </c>
      <c r="D24">
        <f>B24/2*E2*F2/(B2*C2)</f>
        <v>23.7774554496477</v>
      </c>
    </row>
    <row r="25" spans="1:4">
      <c r="A25" t="s">
        <v>10</v>
      </c>
      <c r="B25">
        <v>32.8</v>
      </c>
      <c r="C25" t="s">
        <v>11</v>
      </c>
      <c r="D25">
        <f>D24*B25/B24</f>
        <v>16.991297140489</v>
      </c>
    </row>
    <row r="26" spans="1:4">
      <c r="A26" t="s">
        <v>19</v>
      </c>
      <c r="B26">
        <v>3.8</v>
      </c>
      <c r="C26" t="s">
        <v>13</v>
      </c>
      <c r="D26">
        <f>D23*B26/B23</f>
        <v>1591.55637460211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26" sqref="D26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26" sqref="D26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Mikasa</dc:creator>
  <cp:lastModifiedBy>邱凯锐</cp:lastModifiedBy>
  <dcterms:created xsi:type="dcterms:W3CDTF">2023-05-12T11:15:00Z</dcterms:created>
  <dcterms:modified xsi:type="dcterms:W3CDTF">2025-12-17T10:27:20Z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9389D23354604607AD2114042E4106E0_12</vt:lpwstr>
  </property>
</Properties>
</file>