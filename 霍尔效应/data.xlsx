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71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<sst xmlns="http://schemas.openxmlformats.org/spreadsheetml/2006/main" count="34" uniqueCount="23">
  <si>
    <t>螺线管磁场测定</t>
  </si>
  <si>
    <t>测定霍尔传感器的灵敏度 K</t>
  </si>
  <si>
    <t>I_m/mA</t>
  </si>
  <si>
    <t>U/mV</t>
  </si>
  <si>
    <t>测量通电螺线管中的磁场分布</t>
  </si>
  <si>
    <t>K</t>
  </si>
  <si>
    <t>X/cm</t>
  </si>
  <si>
    <t>U_1/mV</t>
  </si>
  <si>
    <t>U_2/mV</t>
  </si>
  <si>
    <t>U</t>
  </si>
  <si>
    <t>B/mT</t>
  </si>
  <si>
    <t>用霍尔传感器测磁场</t>
  </si>
  <si>
    <t>R/Omega</t>
  </si>
  <si>
    <t>I_H/mA</t>
  </si>
  <si>
    <t>U_H1/mV</t>
  </si>
  <si>
    <t>U_H2/mV</t>
  </si>
  <si>
    <t>U_H3/mV</t>
  </si>
  <si>
    <t>U_H4/mV</t>
  </si>
  <si>
    <t>U_H/mV</t>
  </si>
  <si>
    <t>B_1/mT</t>
  </si>
  <si>
    <t>B_2/mT</t>
  </si>
  <si>
    <t>B_3/mT</t>
  </si>
  <si>
    <t>B_4/mT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</si>
</sst>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tabSelected="1" topLeftCell="A40" workbookViewId="0">
      <selection activeCell="A57" sqref="A57:K65"/>
    </sheetView>
  </sheetViews>
  <sheetFormatPr defaultColWidth="9" defaultRowHeight="14.1"/>
  <cols>
    <col min="5" max="5" width="15.0900900900901"/>
  </cols>
  <sheetData>
    <row r="1" spans="1:1">
      <c r="A1" t="s">
        <v>0</v>
      </c>
    </row>
    <row r="4" spans="1:1">
      <c r="A4" t="s">
        <v>1</v>
      </c>
    </row>
    <row r="5" spans="1:12">
      <c r="A5" t="s">
        <v>2</v>
      </c>
      <c r="B5">
        <v>0</v>
      </c>
      <c r="C5">
        <v>50</v>
      </c>
      <c r="D5">
        <v>100</v>
      </c>
      <c r="E5">
        <v>150</v>
      </c>
      <c r="F5">
        <v>200</v>
      </c>
      <c r="G5">
        <v>250</v>
      </c>
      <c r="H5">
        <v>300</v>
      </c>
      <c r="I5">
        <v>350</v>
      </c>
      <c r="J5">
        <v>400</v>
      </c>
      <c r="K5">
        <v>450</v>
      </c>
      <c r="L5">
        <v>500</v>
      </c>
    </row>
    <row r="6" spans="1:12">
      <c r="A6" t="s">
        <v>3</v>
      </c>
      <c r="B6">
        <v>-2.6</v>
      </c>
      <c r="C6">
        <v>19.7</v>
      </c>
      <c r="D6">
        <v>42.9</v>
      </c>
      <c r="E6">
        <v>65.2</v>
      </c>
      <c r="F6">
        <v>88.4</v>
      </c>
      <c r="G6">
        <v>110.9</v>
      </c>
      <c r="H6">
        <v>133.8</v>
      </c>
      <c r="I6">
        <v>156.5</v>
      </c>
      <c r="J6">
        <v>179.2</v>
      </c>
      <c r="K6">
        <v>202.1</v>
      </c>
      <c r="L6">
        <v>225.1</v>
      </c>
    </row>
    <row r="8" spans="1:8">
      <c r="A8" t="s">
        <v>4</v>
      </c>
      <c r="E8" t="s">
        <v>2</v>
      </c>
      <c r="F8">
        <v>250</v>
      </c>
      <c r="G8" t="s">
        <v>5</v>
      </c>
      <c r="H8">
        <v>31.69</v>
      </c>
    </row>
    <row r="9" spans="1:5">
      <c r="A9" t="s">
        <v>6</v>
      </c>
      <c r="B9" t="s">
        <v>7</v>
      </c>
      <c r="C9" t="s">
        <v>8</v>
      </c>
      <c r="D9" t="s">
        <v>9</v>
      </c>
      <c r="E9" t="s">
        <v>10</v>
      </c>
    </row>
    <row r="10" spans="1:5">
      <c r="A10">
        <v>1</v>
      </c>
      <c r="B10">
        <v>3.1</v>
      </c>
      <c r="C10">
        <v>-9.9</v>
      </c>
      <c r="D10">
        <f>(B10-C10)/2</f>
        <v>6.5</v>
      </c>
      <c r="E10" s="1">
        <f>D10/31.69</f>
        <v>0.205112022720101</v>
      </c>
    </row>
    <row r="11" spans="1:5">
      <c r="A11">
        <v>2</v>
      </c>
      <c r="B11">
        <v>8.9</v>
      </c>
      <c r="C11">
        <v>-15.9</v>
      </c>
      <c r="D11">
        <f t="shared" ref="D11:D39" si="0">(B11-C11)/2</f>
        <v>12.4</v>
      </c>
      <c r="E11" s="1">
        <f t="shared" ref="E11:E39" si="1">D11/31.69</f>
        <v>0.391290627958346</v>
      </c>
    </row>
    <row r="12" spans="1:5">
      <c r="A12">
        <v>3</v>
      </c>
      <c r="B12">
        <v>23.4</v>
      </c>
      <c r="C12">
        <v>-30.6</v>
      </c>
      <c r="D12">
        <f t="shared" si="0"/>
        <v>27</v>
      </c>
      <c r="E12" s="1">
        <f t="shared" si="1"/>
        <v>0.852003786683496</v>
      </c>
    </row>
    <row r="13" spans="1:5">
      <c r="A13">
        <v>4</v>
      </c>
      <c r="B13">
        <v>53.2</v>
      </c>
      <c r="C13">
        <v>-60.6</v>
      </c>
      <c r="D13">
        <f t="shared" si="0"/>
        <v>56.9</v>
      </c>
      <c r="E13" s="1">
        <f t="shared" si="1"/>
        <v>1.79551909119596</v>
      </c>
    </row>
    <row r="14" spans="1:5">
      <c r="A14">
        <v>5</v>
      </c>
      <c r="B14">
        <v>81.4</v>
      </c>
      <c r="C14">
        <v>-88.7</v>
      </c>
      <c r="D14">
        <f t="shared" si="0"/>
        <v>85.05</v>
      </c>
      <c r="E14" s="1">
        <f t="shared" si="1"/>
        <v>2.68381192805301</v>
      </c>
    </row>
    <row r="15" spans="1:5">
      <c r="A15">
        <v>6</v>
      </c>
      <c r="B15">
        <v>94.2</v>
      </c>
      <c r="C15">
        <v>-101.2</v>
      </c>
      <c r="D15">
        <f t="shared" si="0"/>
        <v>97.7</v>
      </c>
      <c r="E15" s="1">
        <f t="shared" si="1"/>
        <v>3.08299147996213</v>
      </c>
    </row>
    <row r="16" spans="1:5">
      <c r="A16">
        <v>7</v>
      </c>
      <c r="B16">
        <v>99.7</v>
      </c>
      <c r="C16">
        <v>-106.8</v>
      </c>
      <c r="D16">
        <f t="shared" si="0"/>
        <v>103.25</v>
      </c>
      <c r="E16" s="1">
        <f t="shared" si="1"/>
        <v>3.2581255916693</v>
      </c>
    </row>
    <row r="17" spans="1:5">
      <c r="A17">
        <v>8</v>
      </c>
      <c r="B17">
        <v>103.6</v>
      </c>
      <c r="C17">
        <v>-110.5</v>
      </c>
      <c r="D17">
        <f t="shared" si="0"/>
        <v>107.05</v>
      </c>
      <c r="E17" s="1">
        <f t="shared" si="1"/>
        <v>3.37803723572105</v>
      </c>
    </row>
    <row r="18" spans="1:5">
      <c r="A18">
        <v>9</v>
      </c>
      <c r="B18">
        <v>106.5</v>
      </c>
      <c r="C18">
        <v>-113.3</v>
      </c>
      <c r="D18">
        <f t="shared" si="0"/>
        <v>109.9</v>
      </c>
      <c r="E18" s="1">
        <f t="shared" si="1"/>
        <v>3.46797096875986</v>
      </c>
    </row>
    <row r="19" spans="1:5">
      <c r="A19">
        <v>10</v>
      </c>
      <c r="B19">
        <v>107.8</v>
      </c>
      <c r="C19">
        <v>-114.6</v>
      </c>
      <c r="D19">
        <f t="shared" si="0"/>
        <v>111.2</v>
      </c>
      <c r="E19" s="1">
        <f t="shared" si="1"/>
        <v>3.50899337330388</v>
      </c>
    </row>
    <row r="20" spans="1:5">
      <c r="A20">
        <v>11</v>
      </c>
      <c r="B20">
        <v>108.4</v>
      </c>
      <c r="C20">
        <v>-115.3</v>
      </c>
      <c r="D20">
        <f t="shared" si="0"/>
        <v>111.85</v>
      </c>
      <c r="E20" s="1">
        <f t="shared" si="1"/>
        <v>3.52950457557589</v>
      </c>
    </row>
    <row r="21" spans="1:5">
      <c r="A21">
        <v>12</v>
      </c>
      <c r="B21">
        <v>108.4</v>
      </c>
      <c r="C21">
        <v>-115.3</v>
      </c>
      <c r="D21">
        <f t="shared" si="0"/>
        <v>111.85</v>
      </c>
      <c r="E21" s="1">
        <f t="shared" si="1"/>
        <v>3.52950457557589</v>
      </c>
    </row>
    <row r="22" spans="1:5">
      <c r="A22">
        <v>13</v>
      </c>
      <c r="B22">
        <v>108.8</v>
      </c>
      <c r="C22">
        <v>-115.8</v>
      </c>
      <c r="D22">
        <f t="shared" si="0"/>
        <v>112.3</v>
      </c>
      <c r="E22" s="1">
        <f t="shared" si="1"/>
        <v>3.54370463868728</v>
      </c>
    </row>
    <row r="23" spans="1:5">
      <c r="A23">
        <v>14</v>
      </c>
      <c r="B23">
        <v>109.6</v>
      </c>
      <c r="C23">
        <v>-116.4</v>
      </c>
      <c r="D23">
        <f t="shared" si="0"/>
        <v>113</v>
      </c>
      <c r="E23" s="1">
        <f t="shared" si="1"/>
        <v>3.56579362574945</v>
      </c>
    </row>
    <row r="24" spans="1:5">
      <c r="A24">
        <v>15</v>
      </c>
      <c r="B24">
        <v>109.9</v>
      </c>
      <c r="C24">
        <v>-116.9</v>
      </c>
      <c r="D24">
        <f t="shared" si="0"/>
        <v>113.4</v>
      </c>
      <c r="E24" s="1">
        <f t="shared" si="1"/>
        <v>3.57841590407068</v>
      </c>
    </row>
    <row r="25" spans="1:5">
      <c r="A25">
        <v>16</v>
      </c>
      <c r="B25">
        <v>110.3</v>
      </c>
      <c r="C25">
        <v>-117.2</v>
      </c>
      <c r="D25">
        <f t="shared" si="0"/>
        <v>113.75</v>
      </c>
      <c r="E25" s="1">
        <f t="shared" si="1"/>
        <v>3.58946039760177</v>
      </c>
    </row>
    <row r="26" spans="1:5">
      <c r="A26">
        <v>17</v>
      </c>
      <c r="B26">
        <v>110.5</v>
      </c>
      <c r="C26">
        <v>-117.4</v>
      </c>
      <c r="D26">
        <f t="shared" si="0"/>
        <v>113.95</v>
      </c>
      <c r="E26" s="1">
        <f t="shared" si="1"/>
        <v>3.59577153676239</v>
      </c>
    </row>
    <row r="27" spans="1:5">
      <c r="A27">
        <v>18</v>
      </c>
      <c r="B27">
        <v>110.3</v>
      </c>
      <c r="C27">
        <v>-117.1</v>
      </c>
      <c r="D27">
        <f t="shared" si="0"/>
        <v>113.7</v>
      </c>
      <c r="E27" s="1">
        <f t="shared" si="1"/>
        <v>3.58788261281161</v>
      </c>
    </row>
    <row r="28" spans="1:5">
      <c r="A28">
        <v>19</v>
      </c>
      <c r="B28">
        <v>110.1</v>
      </c>
      <c r="C28">
        <v>-117.1</v>
      </c>
      <c r="D28">
        <f t="shared" si="0"/>
        <v>113.6</v>
      </c>
      <c r="E28" s="1">
        <f t="shared" si="1"/>
        <v>3.5847270432313</v>
      </c>
    </row>
    <row r="29" spans="1:5">
      <c r="A29">
        <v>20</v>
      </c>
      <c r="B29">
        <v>110.3</v>
      </c>
      <c r="C29">
        <v>-117.1</v>
      </c>
      <c r="D29">
        <f t="shared" si="0"/>
        <v>113.7</v>
      </c>
      <c r="E29" s="1">
        <f t="shared" si="1"/>
        <v>3.58788261281161</v>
      </c>
    </row>
    <row r="30" spans="1:5">
      <c r="A30">
        <v>21</v>
      </c>
      <c r="B30">
        <v>110.3</v>
      </c>
      <c r="C30">
        <v>-117.2</v>
      </c>
      <c r="D30">
        <f t="shared" si="0"/>
        <v>113.75</v>
      </c>
      <c r="E30" s="1">
        <f t="shared" si="1"/>
        <v>3.58946039760177</v>
      </c>
    </row>
    <row r="31" spans="1:5">
      <c r="A31">
        <v>22</v>
      </c>
      <c r="B31">
        <v>109.7</v>
      </c>
      <c r="C31">
        <v>-116.7</v>
      </c>
      <c r="D31">
        <f t="shared" si="0"/>
        <v>113.2</v>
      </c>
      <c r="E31" s="1">
        <f t="shared" si="1"/>
        <v>3.57210476491007</v>
      </c>
    </row>
    <row r="32" spans="1:5">
      <c r="A32">
        <v>23</v>
      </c>
      <c r="B32">
        <v>109.3</v>
      </c>
      <c r="C32">
        <v>-116.2</v>
      </c>
      <c r="D32">
        <f t="shared" si="0"/>
        <v>112.75</v>
      </c>
      <c r="E32" s="1">
        <f t="shared" si="1"/>
        <v>3.55790470179867</v>
      </c>
    </row>
    <row r="33" spans="1:5">
      <c r="A33">
        <v>24</v>
      </c>
      <c r="B33">
        <v>108.7</v>
      </c>
      <c r="C33">
        <v>-115.7</v>
      </c>
      <c r="D33">
        <f t="shared" si="0"/>
        <v>112.2</v>
      </c>
      <c r="E33" s="1">
        <f t="shared" si="1"/>
        <v>3.54054906910697</v>
      </c>
    </row>
    <row r="34" spans="1:5">
      <c r="A34">
        <v>25</v>
      </c>
      <c r="B34">
        <v>107.6</v>
      </c>
      <c r="C34">
        <v>-114.6</v>
      </c>
      <c r="D34">
        <f t="shared" si="0"/>
        <v>111.1</v>
      </c>
      <c r="E34" s="1">
        <f t="shared" si="1"/>
        <v>3.50583780372357</v>
      </c>
    </row>
    <row r="35" spans="1:5">
      <c r="A35">
        <v>26</v>
      </c>
      <c r="B35">
        <v>105.7</v>
      </c>
      <c r="C35" s="2">
        <v>-113</v>
      </c>
      <c r="D35">
        <f t="shared" si="0"/>
        <v>109.35</v>
      </c>
      <c r="E35" s="1">
        <f t="shared" si="1"/>
        <v>3.45061533606816</v>
      </c>
    </row>
    <row r="36" spans="1:5">
      <c r="A36">
        <v>27</v>
      </c>
      <c r="B36">
        <v>102.2</v>
      </c>
      <c r="C36">
        <v>-109.6</v>
      </c>
      <c r="D36">
        <f t="shared" si="0"/>
        <v>105.9</v>
      </c>
      <c r="E36" s="1">
        <f t="shared" si="1"/>
        <v>3.34174818554749</v>
      </c>
    </row>
    <row r="37" spans="1:5">
      <c r="A37">
        <v>28</v>
      </c>
      <c r="B37">
        <v>95.7</v>
      </c>
      <c r="C37">
        <v>-103.1</v>
      </c>
      <c r="D37">
        <f t="shared" si="0"/>
        <v>99.4</v>
      </c>
      <c r="E37" s="1">
        <f t="shared" si="1"/>
        <v>3.13663616282739</v>
      </c>
    </row>
    <row r="38" spans="1:5">
      <c r="A38">
        <v>29</v>
      </c>
      <c r="B38">
        <v>78.8</v>
      </c>
      <c r="C38">
        <v>-86.3</v>
      </c>
      <c r="D38">
        <f t="shared" si="0"/>
        <v>82.55</v>
      </c>
      <c r="E38" s="1">
        <f t="shared" si="1"/>
        <v>2.60492268854528</v>
      </c>
    </row>
    <row r="39" spans="1:5">
      <c r="A39">
        <v>30</v>
      </c>
      <c r="B39">
        <v>46.8</v>
      </c>
      <c r="C39">
        <v>-54.5</v>
      </c>
      <c r="D39">
        <f t="shared" si="0"/>
        <v>50.65</v>
      </c>
      <c r="E39" s="1">
        <f t="shared" si="1"/>
        <v>1.59829599242663</v>
      </c>
    </row>
    <row r="43" spans="1:1">
      <c r="A43" t="s">
        <v>11</v>
      </c>
    </row>
    <row r="44" spans="1:2">
      <c r="A44" t="s">
        <v>12</v>
      </c>
      <c r="B44">
        <v>300</v>
      </c>
    </row>
    <row r="45" spans="1:2">
      <c r="A45" t="s">
        <v>2</v>
      </c>
      <c r="B45">
        <v>400</v>
      </c>
    </row>
    <row r="46" spans="1:2">
      <c r="A46" t="s">
        <v>10</v>
      </c>
      <c r="B46">
        <v>419.9</v>
      </c>
    </row>
    <row r="47" spans="1:6">
      <c r="A47" t="s">
        <v>13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</row>
    <row r="48" spans="1:6">
      <c r="A48">
        <v>0.5</v>
      </c>
      <c r="B48">
        <v>-48.2</v>
      </c>
      <c r="C48">
        <v>47.6</v>
      </c>
      <c r="D48">
        <v>-47.6</v>
      </c>
      <c r="E48">
        <v>48.2</v>
      </c>
      <c r="F48">
        <f>(-B48+C48-D48+E48)/4</f>
        <v>47.9</v>
      </c>
    </row>
    <row r="49" spans="1:6">
      <c r="A49">
        <v>1</v>
      </c>
      <c r="B49">
        <v>-96.5</v>
      </c>
      <c r="C49">
        <v>95.3</v>
      </c>
      <c r="D49">
        <v>-95.7</v>
      </c>
      <c r="E49">
        <v>96.5</v>
      </c>
      <c r="F49">
        <f>(-B49+C49-D49+E49)/4</f>
        <v>96</v>
      </c>
    </row>
    <row r="50" spans="1:6">
      <c r="A50">
        <v>1.5</v>
      </c>
      <c r="B50">
        <v>-144.7</v>
      </c>
      <c r="C50">
        <v>142.9</v>
      </c>
      <c r="D50">
        <v>-142.9</v>
      </c>
      <c r="E50">
        <v>144.5</v>
      </c>
      <c r="F50">
        <f>(-B50+C50-D50+E50)/4</f>
        <v>143.75</v>
      </c>
    </row>
    <row r="51" spans="1:6">
      <c r="A51">
        <v>2</v>
      </c>
      <c r="B51">
        <v>-192.9</v>
      </c>
      <c r="C51">
        <v>190.5</v>
      </c>
      <c r="D51">
        <v>-190.5</v>
      </c>
      <c r="E51">
        <v>192.7</v>
      </c>
      <c r="F51">
        <f>(-B51+C51-D51+E51)/4</f>
        <v>191.65</v>
      </c>
    </row>
    <row r="52" spans="1:6">
      <c r="A52">
        <v>2.5</v>
      </c>
      <c r="B52">
        <v>-240.8</v>
      </c>
      <c r="C52">
        <v>238.1</v>
      </c>
      <c r="D52">
        <v>-237.9</v>
      </c>
      <c r="E52">
        <v>240.5</v>
      </c>
      <c r="F52">
        <f>(-B52+C52-D52+E52)/4</f>
        <v>239.325</v>
      </c>
    </row>
    <row r="55" spans="1:2">
      <c r="A55" t="s">
        <v>13</v>
      </c>
      <c r="B55">
        <v>1</v>
      </c>
    </row>
    <row r="57" spans="1:11">
      <c r="A57" t="s">
        <v>2</v>
      </c>
      <c r="B57" t="s">
        <v>14</v>
      </c>
      <c r="C57" t="s">
        <v>19</v>
      </c>
      <c r="D57" t="s">
        <v>15</v>
      </c>
      <c r="E57" t="s">
        <v>20</v>
      </c>
      <c r="F57" t="s">
        <v>16</v>
      </c>
      <c r="G57" t="s">
        <v>21</v>
      </c>
      <c r="H57" t="s">
        <v>17</v>
      </c>
      <c r="I57" t="s">
        <v>22</v>
      </c>
      <c r="J57" t="s">
        <v>18</v>
      </c>
      <c r="K57" t="s">
        <v>10</v>
      </c>
    </row>
    <row r="58" spans="1:11">
      <c r="A58">
        <v>0.05</v>
      </c>
      <c r="B58">
        <v>-12.6</v>
      </c>
      <c r="C58">
        <v>53.8</v>
      </c>
      <c r="D58">
        <v>11</v>
      </c>
      <c r="E58">
        <v>-51.1</v>
      </c>
      <c r="F58">
        <v>-11</v>
      </c>
      <c r="G58">
        <v>-51.1</v>
      </c>
      <c r="H58">
        <v>12.3</v>
      </c>
      <c r="I58">
        <v>52.4</v>
      </c>
      <c r="J58">
        <f>(-B58+D58-F58+H58)/4</f>
        <v>11.725</v>
      </c>
      <c r="K58">
        <f>(C58-E58-G58+I58)/4</f>
        <v>52.1</v>
      </c>
    </row>
    <row r="59" spans="1:11">
      <c r="A59">
        <v>0.1</v>
      </c>
      <c r="B59">
        <v>-23.7</v>
      </c>
      <c r="C59">
        <v>102.6</v>
      </c>
      <c r="D59">
        <v>23.5</v>
      </c>
      <c r="E59">
        <v>-101.5</v>
      </c>
      <c r="F59">
        <v>-22.5</v>
      </c>
      <c r="G59">
        <v>-101.5</v>
      </c>
      <c r="H59">
        <v>23.7</v>
      </c>
      <c r="I59">
        <v>102.6</v>
      </c>
      <c r="J59">
        <f t="shared" ref="J59:J65" si="2">(-B59+D59-F59+H59)/4</f>
        <v>23.35</v>
      </c>
      <c r="K59">
        <f t="shared" ref="K59:K65" si="3">(C59-E59-G59+I59)/4</f>
        <v>102.05</v>
      </c>
    </row>
    <row r="60" spans="1:11">
      <c r="A60">
        <v>0.15</v>
      </c>
      <c r="B60">
        <v>-35.3</v>
      </c>
      <c r="C60">
        <v>153.3</v>
      </c>
      <c r="D60">
        <v>34.1</v>
      </c>
      <c r="E60">
        <v>-152.4</v>
      </c>
      <c r="F60">
        <v>-34.1</v>
      </c>
      <c r="G60">
        <v>-152.3</v>
      </c>
      <c r="H60">
        <v>35.1</v>
      </c>
      <c r="I60">
        <v>152.8</v>
      </c>
      <c r="J60">
        <f t="shared" si="2"/>
        <v>34.65</v>
      </c>
      <c r="K60">
        <f t="shared" si="3"/>
        <v>152.7</v>
      </c>
    </row>
    <row r="61" spans="1:11">
      <c r="A61">
        <v>0.2</v>
      </c>
      <c r="B61">
        <v>-46.4</v>
      </c>
      <c r="C61">
        <v>202.6</v>
      </c>
      <c r="D61">
        <v>45.6</v>
      </c>
      <c r="E61">
        <v>-202.3</v>
      </c>
      <c r="F61">
        <v>-45.6</v>
      </c>
      <c r="G61">
        <v>-202.3</v>
      </c>
      <c r="H61">
        <v>46.7</v>
      </c>
      <c r="I61">
        <v>203.2</v>
      </c>
      <c r="J61">
        <f t="shared" si="2"/>
        <v>46.075</v>
      </c>
      <c r="K61">
        <f t="shared" si="3"/>
        <v>202.6</v>
      </c>
    </row>
    <row r="62" spans="1:11">
      <c r="A62">
        <v>0.25</v>
      </c>
      <c r="B62">
        <v>-58.5</v>
      </c>
      <c r="C62">
        <v>254.6</v>
      </c>
      <c r="D62">
        <v>57.4</v>
      </c>
      <c r="E62">
        <v>-253.7</v>
      </c>
      <c r="F62">
        <v>-57.4</v>
      </c>
      <c r="G62">
        <v>-253.6</v>
      </c>
      <c r="H62">
        <v>58.3</v>
      </c>
      <c r="I62">
        <v>253.8</v>
      </c>
      <c r="J62">
        <f t="shared" si="2"/>
        <v>57.9</v>
      </c>
      <c r="K62">
        <f t="shared" si="3"/>
        <v>253.925</v>
      </c>
    </row>
    <row r="63" spans="1:11">
      <c r="A63">
        <v>0.3</v>
      </c>
      <c r="B63">
        <v>-70.3</v>
      </c>
      <c r="C63">
        <v>306.1</v>
      </c>
      <c r="D63">
        <v>69.6</v>
      </c>
      <c r="E63">
        <v>-306.2</v>
      </c>
      <c r="F63">
        <v>-69.6</v>
      </c>
      <c r="G63">
        <v>-306.4</v>
      </c>
      <c r="H63">
        <v>70.6</v>
      </c>
      <c r="I63">
        <v>301.3</v>
      </c>
      <c r="J63">
        <f t="shared" si="2"/>
        <v>70.025</v>
      </c>
      <c r="K63">
        <f t="shared" si="3"/>
        <v>305</v>
      </c>
    </row>
    <row r="64" spans="1:11">
      <c r="A64">
        <v>0.35</v>
      </c>
      <c r="B64">
        <v>-84.4</v>
      </c>
      <c r="C64">
        <v>366.3</v>
      </c>
      <c r="D64">
        <v>83.3</v>
      </c>
      <c r="E64">
        <v>-465.4</v>
      </c>
      <c r="F64">
        <v>-83.2</v>
      </c>
      <c r="G64">
        <v>-365.2</v>
      </c>
      <c r="H64">
        <v>84.1</v>
      </c>
      <c r="I64">
        <v>365.2</v>
      </c>
      <c r="J64">
        <f t="shared" si="2"/>
        <v>83.75</v>
      </c>
      <c r="K64">
        <f t="shared" si="3"/>
        <v>390.525</v>
      </c>
    </row>
    <row r="65" spans="1:11">
      <c r="A65">
        <v>0.4</v>
      </c>
      <c r="B65">
        <v>-96.3</v>
      </c>
      <c r="C65">
        <v>417.7</v>
      </c>
      <c r="D65">
        <v>95.4</v>
      </c>
      <c r="E65">
        <v>-417.2</v>
      </c>
      <c r="F65">
        <v>-95.4</v>
      </c>
      <c r="G65">
        <v>-417.2</v>
      </c>
      <c r="H65">
        <v>96.4</v>
      </c>
      <c r="I65">
        <v>418.1</v>
      </c>
      <c r="J65">
        <f t="shared" si="2"/>
        <v>95.875</v>
      </c>
      <c r="K65">
        <f t="shared" si="3"/>
        <v>417.55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邱凯锐</cp:lastModifiedBy>
  <dcterms:created xsi:type="dcterms:W3CDTF">2023-05-12T11:15:00Z</dcterms:created>
  <dcterms:modified xsi:type="dcterms:W3CDTF">2026-01-04T09:33:59Z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A71E39F64A044A2A9901A1469F2D1252_12</vt:lpwstr>
  </property>
</Properties>
</file>